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5fcd7c22da9fba6/Desktop/excel data anylatic/"/>
    </mc:Choice>
  </mc:AlternateContent>
  <xr:revisionPtr revIDLastSave="261" documentId="11_F25DC773A252ABDACC1048AD395958565BDE58F1" xr6:coauthVersionLast="47" xr6:coauthVersionMax="47" xr10:uidLastSave="{50E9AB95-DDEF-48B9-94AA-9850A4C71A31}"/>
  <bookViews>
    <workbookView xWindow="-108" yWindow="-108" windowWidth="23256" windowHeight="12456" xr2:uid="{00000000-000D-0000-FFFF-FFFF00000000}"/>
  </bookViews>
  <sheets>
    <sheet name="18 june 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2" l="1"/>
  <c r="J14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  <c r="H3" i="2"/>
  <c r="G3" i="2"/>
  <c r="F3" i="2"/>
  <c r="E3" i="2"/>
  <c r="J19" i="2" l="1"/>
  <c r="J16" i="2"/>
  <c r="J18" i="2"/>
  <c r="J17" i="2"/>
  <c r="K17" i="2" s="1"/>
  <c r="K18" i="2" l="1"/>
  <c r="K16" i="2"/>
  <c r="K19" i="2"/>
</calcChain>
</file>

<file path=xl/sharedStrings.xml><?xml version="1.0" encoding="utf-8"?>
<sst xmlns="http://schemas.openxmlformats.org/spreadsheetml/2006/main" count="40" uniqueCount="29">
  <si>
    <t>S.no</t>
  </si>
  <si>
    <t>DESCRIPTION</t>
  </si>
  <si>
    <t>TYPE</t>
  </si>
  <si>
    <t>AMOUNT</t>
  </si>
  <si>
    <t>TEA+BISCUTES</t>
  </si>
  <si>
    <t>COLLAGE TEXI</t>
  </si>
  <si>
    <t>TRAVEL-COLLAGE</t>
  </si>
  <si>
    <t>CANTEEN-COLLAGE</t>
  </si>
  <si>
    <t>FOOD</t>
  </si>
  <si>
    <t>COPY-SELF STUDY</t>
  </si>
  <si>
    <t>STATIONARY</t>
  </si>
  <si>
    <t>GULAB JAMUN</t>
  </si>
  <si>
    <t>LUNCH</t>
  </si>
  <si>
    <t>MONSTER DRINK</t>
  </si>
  <si>
    <t xml:space="preserve">ZERODHA </t>
  </si>
  <si>
    <t>INVESTMENT</t>
  </si>
  <si>
    <t>HDFC</t>
  </si>
  <si>
    <t>INDUSIND BANK</t>
  </si>
  <si>
    <t xml:space="preserve"> </t>
  </si>
  <si>
    <t>TRAVEL</t>
  </si>
  <si>
    <t>TOTAL FOR THE DAY</t>
  </si>
  <si>
    <t>AVERAGE TRANSTION VALUE</t>
  </si>
  <si>
    <t>FOOD EXPANSE</t>
  </si>
  <si>
    <t>TRAVEL EXPANSE</t>
  </si>
  <si>
    <t>STATIONARY EXPANSE</t>
  </si>
  <si>
    <t>INVESTMENT EXPANSE</t>
  </si>
  <si>
    <t xml:space="preserve">WHICH </t>
  </si>
  <si>
    <t>PERCENTAGE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</si>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</sst>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i/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2" fontId="2" fillId="6" borderId="9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5084-E9C4-430E-A8E0-AC7C439DFCCC}">
  <dimension ref="A1:K19"/>
  <sheetViews>
    <sheetView tabSelected="1" topLeftCell="B1" zoomScale="77" zoomScaleNormal="94" workbookViewId="0">
      <selection activeCell="I7" sqref="I7"/>
    </sheetView>
  </sheetViews>
  <sheetFormatPr defaultRowHeight="14.4" x14ac:dyDescent="0.3"/>
  <cols>
    <col min="1" max="1" width="8.109375" customWidth="1"/>
    <col min="2" max="8" width="17.33203125" customWidth="1"/>
    <col min="9" max="9" width="32.21875" customWidth="1"/>
    <col min="10" max="11" width="17.21875" customWidth="1"/>
  </cols>
  <sheetData>
    <row r="1" spans="1:11" ht="26.4" thickBot="1" x14ac:dyDescent="0.35">
      <c r="A1" s="1" t="s">
        <v>18</v>
      </c>
      <c r="B1" s="2">
        <v>46191</v>
      </c>
      <c r="C1" s="2"/>
      <c r="D1" s="2"/>
      <c r="E1" s="2"/>
      <c r="F1" s="2"/>
      <c r="G1" s="2"/>
      <c r="H1" s="2"/>
      <c r="I1" s="3"/>
      <c r="J1" s="3"/>
      <c r="K1" s="3"/>
    </row>
    <row r="2" spans="1:11" ht="21" x14ac:dyDescent="0.3">
      <c r="A2" s="4" t="s">
        <v>0</v>
      </c>
      <c r="B2" s="5" t="s">
        <v>1</v>
      </c>
      <c r="C2" s="6" t="s">
        <v>2</v>
      </c>
      <c r="D2" s="6" t="s">
        <v>3</v>
      </c>
      <c r="E2" s="6" t="s">
        <v>8</v>
      </c>
      <c r="F2" s="6" t="s">
        <v>19</v>
      </c>
      <c r="G2" s="6" t="s">
        <v>10</v>
      </c>
      <c r="H2" s="7" t="s">
        <v>15</v>
      </c>
      <c r="I2" s="3"/>
      <c r="J2" s="3"/>
      <c r="K2" s="3"/>
    </row>
    <row r="3" spans="1:11" ht="17.399999999999999" x14ac:dyDescent="0.3">
      <c r="A3" s="13">
        <v>1</v>
      </c>
      <c r="B3" s="8" t="s">
        <v>4</v>
      </c>
      <c r="C3" s="9" t="s">
        <v>8</v>
      </c>
      <c r="D3" s="9">
        <v>150</v>
      </c>
      <c r="E3" s="9">
        <f>COUNTIF(C3,"FOOD")*D3</f>
        <v>150</v>
      </c>
      <c r="F3" s="9">
        <f>COUNTIF(C3,"TRAVEL-COLLAGE")*D3</f>
        <v>0</v>
      </c>
      <c r="G3" s="9">
        <f>COUNTIF(C3,"STATIONARY")*D3</f>
        <v>0</v>
      </c>
      <c r="H3" s="10">
        <f>COUNTIF(C3,"INVESTMENT")*D3</f>
        <v>0</v>
      </c>
      <c r="I3" s="3"/>
      <c r="J3" s="3"/>
      <c r="K3" s="3"/>
    </row>
    <row r="4" spans="1:11" ht="17.399999999999999" x14ac:dyDescent="0.3">
      <c r="A4" s="13">
        <v>2</v>
      </c>
      <c r="B4" s="8" t="s">
        <v>5</v>
      </c>
      <c r="C4" s="9" t="s">
        <v>6</v>
      </c>
      <c r="D4" s="9">
        <v>50</v>
      </c>
      <c r="E4" s="9">
        <f t="shared" ref="E4:E12" si="0">COUNTIF(C4,"FOOD")*D4</f>
        <v>0</v>
      </c>
      <c r="F4" s="9">
        <f>COUNTIF(C4,"TRAVEL-COLLAGE")*D4</f>
        <v>50</v>
      </c>
      <c r="G4" s="9">
        <f t="shared" ref="G4:G12" si="1">COUNTIF(C4,"STATIONARY")*D4</f>
        <v>0</v>
      </c>
      <c r="H4" s="10">
        <f t="shared" ref="H4:H12" si="2">COUNTIF(C4,"INVESTMENT")*D4</f>
        <v>0</v>
      </c>
      <c r="I4" s="3"/>
      <c r="J4" s="3"/>
      <c r="K4" s="3"/>
    </row>
    <row r="5" spans="1:11" ht="17.399999999999999" x14ac:dyDescent="0.3">
      <c r="A5" s="13">
        <v>3</v>
      </c>
      <c r="B5" s="8" t="s">
        <v>7</v>
      </c>
      <c r="C5" s="9" t="s">
        <v>8</v>
      </c>
      <c r="D5" s="9">
        <v>200</v>
      </c>
      <c r="E5" s="9">
        <f t="shared" si="0"/>
        <v>200</v>
      </c>
      <c r="F5" s="9">
        <f t="shared" ref="F5:F12" si="3">COUNTIF(C5,"TRAVEL-COLLAGE")*D5</f>
        <v>0</v>
      </c>
      <c r="G5" s="9">
        <f t="shared" si="1"/>
        <v>0</v>
      </c>
      <c r="H5" s="10">
        <f t="shared" si="2"/>
        <v>0</v>
      </c>
      <c r="I5" s="3"/>
      <c r="J5" s="3"/>
      <c r="K5" s="3"/>
    </row>
    <row r="6" spans="1:11" ht="17.399999999999999" x14ac:dyDescent="0.3">
      <c r="A6" s="13">
        <v>4</v>
      </c>
      <c r="B6" s="8" t="s">
        <v>9</v>
      </c>
      <c r="C6" s="9" t="s">
        <v>10</v>
      </c>
      <c r="D6" s="9">
        <v>100</v>
      </c>
      <c r="E6" s="9">
        <f t="shared" si="0"/>
        <v>0</v>
      </c>
      <c r="F6" s="9">
        <f t="shared" si="3"/>
        <v>0</v>
      </c>
      <c r="G6" s="9">
        <f t="shared" si="1"/>
        <v>100</v>
      </c>
      <c r="H6" s="10">
        <f t="shared" si="2"/>
        <v>0</v>
      </c>
      <c r="I6" s="3"/>
      <c r="J6" s="3"/>
      <c r="K6" s="3"/>
    </row>
    <row r="7" spans="1:11" ht="17.399999999999999" x14ac:dyDescent="0.3">
      <c r="A7" s="13">
        <v>5</v>
      </c>
      <c r="B7" s="8" t="s">
        <v>11</v>
      </c>
      <c r="C7" s="9" t="s">
        <v>8</v>
      </c>
      <c r="D7" s="9">
        <v>50</v>
      </c>
      <c r="E7" s="9">
        <f t="shared" si="0"/>
        <v>50</v>
      </c>
      <c r="F7" s="9">
        <f t="shared" si="3"/>
        <v>0</v>
      </c>
      <c r="G7" s="9">
        <f t="shared" si="1"/>
        <v>0</v>
      </c>
      <c r="H7" s="10">
        <f t="shared" si="2"/>
        <v>0</v>
      </c>
      <c r="I7" s="3"/>
      <c r="J7" s="3"/>
      <c r="K7" s="3"/>
    </row>
    <row r="8" spans="1:11" ht="17.399999999999999" x14ac:dyDescent="0.3">
      <c r="A8" s="13">
        <v>6</v>
      </c>
      <c r="B8" s="8" t="s">
        <v>12</v>
      </c>
      <c r="C8" s="9" t="s">
        <v>8</v>
      </c>
      <c r="D8" s="9">
        <v>120</v>
      </c>
      <c r="E8" s="9">
        <f t="shared" si="0"/>
        <v>120</v>
      </c>
      <c r="F8" s="9">
        <f t="shared" si="3"/>
        <v>0</v>
      </c>
      <c r="G8" s="9">
        <f t="shared" si="1"/>
        <v>0</v>
      </c>
      <c r="H8" s="10">
        <f t="shared" si="2"/>
        <v>0</v>
      </c>
      <c r="I8" s="3"/>
      <c r="J8" s="3"/>
      <c r="K8" s="3"/>
    </row>
    <row r="9" spans="1:11" ht="17.399999999999999" x14ac:dyDescent="0.3">
      <c r="A9" s="13">
        <v>7</v>
      </c>
      <c r="B9" s="8" t="s">
        <v>13</v>
      </c>
      <c r="C9" s="9" t="s">
        <v>8</v>
      </c>
      <c r="D9" s="9">
        <v>125</v>
      </c>
      <c r="E9" s="9">
        <f t="shared" si="0"/>
        <v>125</v>
      </c>
      <c r="F9" s="9">
        <f t="shared" si="3"/>
        <v>0</v>
      </c>
      <c r="G9" s="9">
        <f t="shared" si="1"/>
        <v>0</v>
      </c>
      <c r="H9" s="10">
        <f t="shared" si="2"/>
        <v>0</v>
      </c>
      <c r="I9" s="3"/>
      <c r="J9" s="3"/>
      <c r="K9" s="3"/>
    </row>
    <row r="10" spans="1:11" ht="17.399999999999999" x14ac:dyDescent="0.3">
      <c r="A10" s="13">
        <v>8</v>
      </c>
      <c r="B10" s="8" t="s">
        <v>14</v>
      </c>
      <c r="C10" s="9" t="s">
        <v>15</v>
      </c>
      <c r="D10" s="9">
        <v>2500</v>
      </c>
      <c r="E10" s="9">
        <f t="shared" si="0"/>
        <v>0</v>
      </c>
      <c r="F10" s="9">
        <f t="shared" si="3"/>
        <v>0</v>
      </c>
      <c r="G10" s="9">
        <f t="shared" si="1"/>
        <v>0</v>
      </c>
      <c r="H10" s="10">
        <f t="shared" si="2"/>
        <v>2500</v>
      </c>
      <c r="I10" s="3"/>
      <c r="J10" s="3"/>
      <c r="K10" s="3"/>
    </row>
    <row r="11" spans="1:11" ht="17.399999999999999" x14ac:dyDescent="0.3">
      <c r="A11" s="13">
        <v>9</v>
      </c>
      <c r="B11" s="8" t="s">
        <v>16</v>
      </c>
      <c r="C11" s="9" t="s">
        <v>15</v>
      </c>
      <c r="D11" s="9">
        <v>2000</v>
      </c>
      <c r="E11" s="9">
        <f t="shared" si="0"/>
        <v>0</v>
      </c>
      <c r="F11" s="9">
        <f t="shared" si="3"/>
        <v>0</v>
      </c>
      <c r="G11" s="9">
        <f t="shared" si="1"/>
        <v>0</v>
      </c>
      <c r="H11" s="10">
        <f t="shared" si="2"/>
        <v>2000</v>
      </c>
      <c r="I11" s="3"/>
      <c r="J11" s="3"/>
      <c r="K11" s="3"/>
    </row>
    <row r="12" spans="1:11" ht="18" thickBot="1" x14ac:dyDescent="0.35">
      <c r="A12" s="14">
        <v>10</v>
      </c>
      <c r="B12" s="11" t="s">
        <v>17</v>
      </c>
      <c r="C12" s="12" t="s">
        <v>15</v>
      </c>
      <c r="D12" s="12">
        <v>3000</v>
      </c>
      <c r="E12" s="12">
        <f t="shared" si="0"/>
        <v>0</v>
      </c>
      <c r="F12" s="12">
        <f t="shared" si="3"/>
        <v>0</v>
      </c>
      <c r="G12" s="12">
        <f t="shared" si="1"/>
        <v>0</v>
      </c>
      <c r="H12" s="19">
        <f t="shared" si="2"/>
        <v>3000</v>
      </c>
      <c r="I12" s="3"/>
      <c r="J12" s="3"/>
      <c r="K12" s="3"/>
    </row>
    <row r="13" spans="1:11" ht="31.8" customHeight="1" x14ac:dyDescent="0.3">
      <c r="A13" s="3"/>
      <c r="B13" s="3"/>
      <c r="C13" s="3"/>
      <c r="D13" s="3"/>
      <c r="E13" s="3"/>
      <c r="F13" s="3"/>
      <c r="G13" s="3"/>
      <c r="H13" s="3"/>
      <c r="I13" s="20" t="s">
        <v>26</v>
      </c>
      <c r="J13" s="21" t="s">
        <v>3</v>
      </c>
      <c r="K13" s="22" t="s">
        <v>27</v>
      </c>
    </row>
    <row r="14" spans="1:11" ht="31.8" customHeight="1" x14ac:dyDescent="0.3">
      <c r="A14" s="3"/>
      <c r="B14" s="3"/>
      <c r="C14" s="3"/>
      <c r="D14" s="3"/>
      <c r="E14" s="3"/>
      <c r="F14" s="3"/>
      <c r="G14" s="3"/>
      <c r="H14" s="3"/>
      <c r="I14" s="23" t="s">
        <v>20</v>
      </c>
      <c r="J14" s="15">
        <f>SUM(D3:D12)</f>
        <v>8295</v>
      </c>
      <c r="K14" s="16" t="s">
        <v>28</v>
      </c>
    </row>
    <row r="15" spans="1:11" ht="31.8" customHeight="1" x14ac:dyDescent="0.3">
      <c r="A15" s="3"/>
      <c r="B15" s="3"/>
      <c r="C15" s="3"/>
      <c r="D15" s="3"/>
      <c r="E15" s="3"/>
      <c r="F15" s="3"/>
      <c r="G15" s="3"/>
      <c r="H15" s="3"/>
      <c r="I15" s="23" t="s">
        <v>21</v>
      </c>
      <c r="J15" s="15">
        <f>AVERAGE(D3:D12)</f>
        <v>829.5</v>
      </c>
      <c r="K15" s="16" t="s">
        <v>28</v>
      </c>
    </row>
    <row r="16" spans="1:11" ht="31.8" customHeight="1" x14ac:dyDescent="0.3">
      <c r="A16" s="3"/>
      <c r="B16" s="3"/>
      <c r="C16" s="3"/>
      <c r="D16" s="3"/>
      <c r="E16" s="3"/>
      <c r="F16" s="3"/>
      <c r="G16" s="3"/>
      <c r="H16" s="3"/>
      <c r="I16" s="23" t="s">
        <v>22</v>
      </c>
      <c r="J16" s="15">
        <f>SUM(E3:E12)</f>
        <v>645</v>
      </c>
      <c r="K16" s="18">
        <f>100*J16/SUM($J$16:$J$19)</f>
        <v>7.7757685352622063</v>
      </c>
    </row>
    <row r="17" spans="1:11" ht="31.8" customHeight="1" x14ac:dyDescent="0.3">
      <c r="A17" s="3"/>
      <c r="B17" s="3"/>
      <c r="C17" s="3"/>
      <c r="D17" s="3"/>
      <c r="E17" s="3"/>
      <c r="F17" s="3"/>
      <c r="G17" s="3"/>
      <c r="H17" s="3"/>
      <c r="I17" s="23" t="s">
        <v>23</v>
      </c>
      <c r="J17" s="15">
        <f>SUM(F3:F12)</f>
        <v>50</v>
      </c>
      <c r="K17" s="18">
        <f t="shared" ref="K17:K19" si="4">100*J17/SUM($J$16:$J$19)</f>
        <v>0.60277275467148883</v>
      </c>
    </row>
    <row r="18" spans="1:11" ht="31.8" customHeight="1" x14ac:dyDescent="0.3">
      <c r="A18" s="3"/>
      <c r="B18" s="3"/>
      <c r="C18" s="3"/>
      <c r="D18" s="3"/>
      <c r="E18" s="3"/>
      <c r="F18" s="3"/>
      <c r="G18" s="3"/>
      <c r="H18" s="3"/>
      <c r="I18" s="23" t="s">
        <v>24</v>
      </c>
      <c r="J18" s="15">
        <f>SUM(G3:G12)</f>
        <v>100</v>
      </c>
      <c r="K18" s="18">
        <f t="shared" si="4"/>
        <v>1.2055455093429777</v>
      </c>
    </row>
    <row r="19" spans="1:11" ht="31.8" customHeight="1" thickBot="1" x14ac:dyDescent="0.35">
      <c r="A19" s="3"/>
      <c r="B19" s="3"/>
      <c r="C19" s="3"/>
      <c r="D19" s="3"/>
      <c r="E19" s="3"/>
      <c r="F19" s="3"/>
      <c r="G19" s="3"/>
      <c r="H19" s="3"/>
      <c r="I19" s="24" t="s">
        <v>25</v>
      </c>
      <c r="J19" s="17">
        <f>SUM(H3:H12)</f>
        <v>7500</v>
      </c>
      <c r="K19" s="18">
        <f t="shared" si="4"/>
        <v>90.415913200723324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 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dcterms:created xsi:type="dcterms:W3CDTF">2015-06-05T18:17:20Z</dcterms:created>
  <dcterms:modified xsi:type="dcterms:W3CDTF">2026-06-18T04:13:33Z</dcterms:modified>
</cp:coreProperties>
</file>