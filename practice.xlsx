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5fcd7c22da9fba6/Desktop/excel data anylatic/"/>
    </mc:Choice>
  </mc:AlternateContent>
  <xr:revisionPtr revIDLastSave="166" documentId="11_F25DC773A252ABDACC1048AD395958565BDE58F1" xr6:coauthVersionLast="47" xr6:coauthVersionMax="47" xr10:uidLastSave="{8D520B1B-9E6E-4F6D-A579-EA4FD4B1EAFC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1" l="1"/>
  <c r="K9" i="1"/>
  <c r="H4" i="1"/>
  <c r="H5" i="1"/>
  <c r="H6" i="1"/>
  <c r="H7" i="1"/>
  <c r="H8" i="1"/>
  <c r="H3" i="1"/>
  <c r="K14" i="1" s="1"/>
  <c r="G4" i="1"/>
  <c r="G5" i="1"/>
  <c r="G6" i="1"/>
  <c r="G7" i="1"/>
  <c r="G8" i="1"/>
  <c r="G3" i="1"/>
  <c r="K13" i="1" s="1"/>
  <c r="F4" i="1"/>
  <c r="F5" i="1"/>
  <c r="F6" i="1"/>
  <c r="F7" i="1"/>
  <c r="F8" i="1"/>
  <c r="F3" i="1"/>
  <c r="E4" i="1"/>
  <c r="E5" i="1"/>
  <c r="E6" i="1"/>
  <c r="E7" i="1"/>
  <c r="E8" i="1"/>
  <c r="E3" i="1"/>
  <c r="K12" i="1" s="1"/>
  <c r="K11" i="1" l="1"/>
  <c r="L13" i="1"/>
  <c r="L14" i="1"/>
  <c r="L11" i="1"/>
  <c r="L12" i="1"/>
</calcChain>
</file>

<file path=xl/sharedStrings.xml><?xml version="1.0" encoding="utf-8"?>
<sst xmlns="http://schemas.openxmlformats.org/spreadsheetml/2006/main" count="32" uniqueCount="23">
  <si>
    <t>S.NO</t>
  </si>
  <si>
    <t>DESCRIPTION</t>
  </si>
  <si>
    <t>TYPE</t>
  </si>
  <si>
    <t>AMOUNT</t>
  </si>
  <si>
    <t>TRACKER=19-06-2026</t>
  </si>
  <si>
    <t>BANANA</t>
  </si>
  <si>
    <t>FRUITS</t>
  </si>
  <si>
    <t>LUNCH</t>
  </si>
  <si>
    <t>FOOD</t>
  </si>
  <si>
    <t>TRAVEL</t>
  </si>
  <si>
    <t>COLLAGE</t>
  </si>
  <si>
    <t>MOMO</t>
  </si>
  <si>
    <t>CANTEEN</t>
  </si>
  <si>
    <t>HDFC</t>
  </si>
  <si>
    <t>INVESTMENT</t>
  </si>
  <si>
    <t>TOTAL AMOUNT OF THE DAY</t>
  </si>
  <si>
    <t>-</t>
  </si>
  <si>
    <t>AVERAGE OF THE DAY</t>
  </si>
  <si>
    <t>TOTAL FOOD EXPANCE</t>
  </si>
  <si>
    <t>TOTAL FRUITS EXPANCE</t>
  </si>
  <si>
    <t>TOTAL COLLAGE EXPANCE</t>
  </si>
  <si>
    <t>TOTAL INVESTMENT EXPANCE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</si>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</sst>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0">
    <xf numFmtId="0" fontId="0" fillId="0" borderId="0" xfId="0"/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0" fillId="8" borderId="1" xfId="0" applyFill="1" applyBorder="1"/>
    <xf numFmtId="0" fontId="0" fillId="8" borderId="1" xfId="0" applyFill="1" applyBorder="1" applyAlignment="1">
      <alignment horizontal="center" vertical="center"/>
    </xf>
    <xf numFmtId="9" fontId="0" fillId="7" borderId="8" xfId="1" applyFont="1" applyFill="1" applyBorder="1" applyAlignment="1">
      <alignment horizontal="center" vertical="center"/>
    </xf>
    <xf numFmtId="9" fontId="0" fillId="7" borderId="9" xfId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topLeftCell="G7" zoomScale="111" workbookViewId="0">
      <selection activeCell="L14" sqref="L14"/>
    </sheetView>
  </sheetViews>
  <sheetFormatPr defaultRowHeight="14.4" x14ac:dyDescent="0.3"/>
  <cols>
    <col min="1" max="1" width="5.33203125" customWidth="1"/>
    <col min="2" max="8" width="13.6640625" customWidth="1"/>
    <col min="9" max="9" width="15" customWidth="1"/>
    <col min="10" max="12" width="23.109375" customWidth="1"/>
  </cols>
  <sheetData>
    <row r="1" spans="1:12" ht="45" customHeight="1" thickBot="1" x14ac:dyDescent="0.35">
      <c r="A1" s="17" t="s">
        <v>4</v>
      </c>
      <c r="B1" s="18"/>
      <c r="C1" s="18"/>
      <c r="D1" s="18"/>
      <c r="E1" s="18"/>
      <c r="F1" s="18"/>
      <c r="G1" s="18"/>
      <c r="H1" s="19"/>
    </row>
    <row r="2" spans="1:12" ht="45" customHeight="1" thickBot="1" x14ac:dyDescent="0.35">
      <c r="A2" s="13" t="s">
        <v>0</v>
      </c>
      <c r="B2" s="14" t="s">
        <v>1</v>
      </c>
      <c r="C2" s="14" t="s">
        <v>2</v>
      </c>
      <c r="D2" s="14" t="s">
        <v>3</v>
      </c>
      <c r="E2" s="14" t="s">
        <v>6</v>
      </c>
      <c r="F2" s="14" t="s">
        <v>8</v>
      </c>
      <c r="G2" s="14" t="s">
        <v>10</v>
      </c>
      <c r="H2" s="14" t="s">
        <v>14</v>
      </c>
    </row>
    <row r="3" spans="1:12" ht="45" customHeight="1" x14ac:dyDescent="0.3">
      <c r="A3" s="1">
        <v>1</v>
      </c>
      <c r="B3" s="5" t="s">
        <v>5</v>
      </c>
      <c r="C3" s="6" t="s">
        <v>6</v>
      </c>
      <c r="D3" s="6">
        <v>60</v>
      </c>
      <c r="E3" s="6">
        <f>COUNTIF(C3,"FRUITS")*D3</f>
        <v>60</v>
      </c>
      <c r="F3" s="6">
        <f>COUNTIF(C3,"FOOD")*D3</f>
        <v>0</v>
      </c>
      <c r="G3" s="6">
        <f>COUNTIF(C3,"COLLAGE")*D3</f>
        <v>0</v>
      </c>
      <c r="H3" s="7">
        <f>COUNTIF(C3,"INVESTMENT")*D3</f>
        <v>0</v>
      </c>
    </row>
    <row r="4" spans="1:12" ht="45" customHeight="1" x14ac:dyDescent="0.3">
      <c r="A4" s="2">
        <v>2</v>
      </c>
      <c r="B4" s="8" t="s">
        <v>7</v>
      </c>
      <c r="C4" s="4" t="s">
        <v>8</v>
      </c>
      <c r="D4" s="4">
        <v>120</v>
      </c>
      <c r="E4" s="4">
        <f t="shared" ref="E4:E8" si="0">COUNTIF(C4,"FRUITS")*D4</f>
        <v>0</v>
      </c>
      <c r="F4" s="4">
        <f t="shared" ref="F4:F8" si="1">COUNTIF(C4,"FOOD")*D4</f>
        <v>120</v>
      </c>
      <c r="G4" s="4">
        <f t="shared" ref="G4:G8" si="2">COUNTIF(C4,"COLLAGE")*D4</f>
        <v>0</v>
      </c>
      <c r="H4" s="9">
        <f t="shared" ref="H4:H8" si="3">COUNTIF(C4,"INVESTMENT")*D4</f>
        <v>0</v>
      </c>
    </row>
    <row r="5" spans="1:12" ht="45" customHeight="1" x14ac:dyDescent="0.3">
      <c r="A5" s="2">
        <v>3</v>
      </c>
      <c r="B5" s="8" t="s">
        <v>9</v>
      </c>
      <c r="C5" s="4" t="s">
        <v>10</v>
      </c>
      <c r="D5" s="4">
        <v>50</v>
      </c>
      <c r="E5" s="4">
        <f t="shared" si="0"/>
        <v>0</v>
      </c>
      <c r="F5" s="4">
        <f t="shared" si="1"/>
        <v>0</v>
      </c>
      <c r="G5" s="4">
        <f t="shared" si="2"/>
        <v>50</v>
      </c>
      <c r="H5" s="9">
        <f t="shared" si="3"/>
        <v>0</v>
      </c>
    </row>
    <row r="6" spans="1:12" ht="45" customHeight="1" x14ac:dyDescent="0.3">
      <c r="A6" s="2">
        <v>4</v>
      </c>
      <c r="B6" s="8" t="s">
        <v>11</v>
      </c>
      <c r="C6" s="4" t="s">
        <v>8</v>
      </c>
      <c r="D6" s="4">
        <v>40</v>
      </c>
      <c r="E6" s="4">
        <f t="shared" si="0"/>
        <v>0</v>
      </c>
      <c r="F6" s="4">
        <f t="shared" si="1"/>
        <v>40</v>
      </c>
      <c r="G6" s="4">
        <f t="shared" si="2"/>
        <v>0</v>
      </c>
      <c r="H6" s="9">
        <f t="shared" si="3"/>
        <v>0</v>
      </c>
    </row>
    <row r="7" spans="1:12" ht="45" customHeight="1" x14ac:dyDescent="0.3">
      <c r="A7" s="2">
        <v>5</v>
      </c>
      <c r="B7" s="8" t="s">
        <v>12</v>
      </c>
      <c r="C7" s="4" t="s">
        <v>8</v>
      </c>
      <c r="D7" s="4">
        <v>500</v>
      </c>
      <c r="E7" s="4">
        <f t="shared" si="0"/>
        <v>0</v>
      </c>
      <c r="F7" s="4">
        <f t="shared" si="1"/>
        <v>500</v>
      </c>
      <c r="G7" s="4">
        <f t="shared" si="2"/>
        <v>0</v>
      </c>
      <c r="H7" s="9">
        <f t="shared" si="3"/>
        <v>0</v>
      </c>
    </row>
    <row r="8" spans="1:12" ht="45" customHeight="1" thickBot="1" x14ac:dyDescent="0.35">
      <c r="A8" s="3">
        <v>6</v>
      </c>
      <c r="B8" s="10" t="s">
        <v>13</v>
      </c>
      <c r="C8" s="11" t="s">
        <v>14</v>
      </c>
      <c r="D8" s="11">
        <v>1000</v>
      </c>
      <c r="E8" s="11">
        <f t="shared" si="0"/>
        <v>0</v>
      </c>
      <c r="F8" s="11">
        <f t="shared" si="1"/>
        <v>0</v>
      </c>
      <c r="G8" s="11">
        <f t="shared" si="2"/>
        <v>0</v>
      </c>
      <c r="H8" s="12">
        <f t="shared" si="3"/>
        <v>1000</v>
      </c>
      <c r="J8" s="26" t="s">
        <v>1</v>
      </c>
      <c r="K8" s="26" t="s">
        <v>3</v>
      </c>
      <c r="L8" s="27" t="s">
        <v>22</v>
      </c>
    </row>
    <row r="9" spans="1:12" ht="31.2" customHeight="1" x14ac:dyDescent="0.3">
      <c r="J9" s="23" t="s">
        <v>15</v>
      </c>
      <c r="K9" s="24">
        <f>SUM(D3:D8)</f>
        <v>1770</v>
      </c>
      <c r="L9" s="25" t="s">
        <v>16</v>
      </c>
    </row>
    <row r="10" spans="1:12" ht="31.2" customHeight="1" x14ac:dyDescent="0.3">
      <c r="J10" s="15" t="s">
        <v>17</v>
      </c>
      <c r="K10" s="20">
        <f>AVERAGE(D3:D8)</f>
        <v>295</v>
      </c>
      <c r="L10" s="22" t="s">
        <v>16</v>
      </c>
    </row>
    <row r="11" spans="1:12" ht="31.2" customHeight="1" x14ac:dyDescent="0.3">
      <c r="J11" s="15" t="s">
        <v>18</v>
      </c>
      <c r="K11" s="20">
        <f>SUM(F3:F8)</f>
        <v>660</v>
      </c>
      <c r="L11" s="28">
        <f ca="1">100*K11/SUM($L$11:$L$14)</f>
        <v>37.288135593220339</v>
      </c>
    </row>
    <row r="12" spans="1:12" ht="31.2" customHeight="1" x14ac:dyDescent="0.3">
      <c r="J12" s="15" t="s">
        <v>19</v>
      </c>
      <c r="K12" s="20">
        <f>SUM(E3:E8)</f>
        <v>60</v>
      </c>
      <c r="L12" s="28">
        <f ca="1">100*K12/SUM($L$11:$L$14)</f>
        <v>3.3898305084745761</v>
      </c>
    </row>
    <row r="13" spans="1:12" ht="31.2" customHeight="1" x14ac:dyDescent="0.3">
      <c r="J13" s="15" t="s">
        <v>20</v>
      </c>
      <c r="K13" s="20">
        <f>SUM(G3:G8)</f>
        <v>50</v>
      </c>
      <c r="L13" s="28">
        <f ca="1">100*K13/SUM($L$11:$L$14)</f>
        <v>2.8248587570621471</v>
      </c>
    </row>
    <row r="14" spans="1:12" ht="31.2" customHeight="1" thickBot="1" x14ac:dyDescent="0.35">
      <c r="J14" s="16" t="s">
        <v>21</v>
      </c>
      <c r="K14" s="21">
        <f>SUM(H3:H8)</f>
        <v>1000</v>
      </c>
      <c r="L14" s="29">
        <f ca="1">100*K14/SUM($L$11:$L$14)</f>
        <v>56.497175141242941</v>
      </c>
    </row>
    <row r="15" spans="1:12" ht="31.2" customHeight="1" x14ac:dyDescent="0.3"/>
    <row r="16" spans="1:12" ht="27.6" customHeight="1" x14ac:dyDescent="0.3"/>
    <row r="17" ht="27.6" customHeight="1" x14ac:dyDescent="0.3"/>
    <row r="18" ht="27.6" customHeight="1" x14ac:dyDescent="0.3"/>
    <row r="19" ht="27.6" customHeight="1" x14ac:dyDescent="0.3"/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kumar yadav</dc:creator>
  <cp:lastModifiedBy>Aniket kumar yadav</cp:lastModifiedBy>
  <dcterms:created xsi:type="dcterms:W3CDTF">2015-06-05T18:17:20Z</dcterms:created>
  <dcterms:modified xsi:type="dcterms:W3CDTF">2026-06-19T05:19:06Z</dcterms:modified>
</cp:coreProperties>
</file>